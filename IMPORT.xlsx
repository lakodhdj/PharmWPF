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8_{BEF6E5DF-B172-4C13-BAE4-915B1B1572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" sheetId="2" r:id="rId1"/>
    <sheet name="Role" sheetId="5" r:id="rId2"/>
    <sheet name="Product" sheetId="3" r:id="rId3"/>
    <sheet name="ProductType" sheetId="6" r:id="rId4"/>
    <sheet name="Order" sheetId="4" r:id="rId5"/>
    <sheet name="OrderStatu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4" l="1"/>
  <c r="F13" i="4"/>
  <c r="F7" i="4"/>
  <c r="F6" i="4"/>
  <c r="F4" i="4"/>
  <c r="F9" i="4"/>
  <c r="F12" i="4"/>
  <c r="F8" i="4"/>
  <c r="F5" i="4"/>
  <c r="F11" i="4"/>
  <c r="F10" i="4"/>
  <c r="F3" i="4"/>
</calcChain>
</file>

<file path=xl/sharedStrings.xml><?xml version="1.0" encoding="utf-8"?>
<sst xmlns="http://schemas.openxmlformats.org/spreadsheetml/2006/main" count="207" uniqueCount="172">
  <si>
    <t>Login</t>
  </si>
  <si>
    <t>Password</t>
  </si>
  <si>
    <t>Mail</t>
  </si>
  <si>
    <t>Иванов Пётр Сергеевич</t>
  </si>
  <si>
    <t>ivanov_ps</t>
  </si>
  <si>
    <t>user123</t>
  </si>
  <si>
    <t>ivanov@mail.ru</t>
  </si>
  <si>
    <t>Пользователь</t>
  </si>
  <si>
    <t>Соколова Анна Викторовна</t>
  </si>
  <si>
    <t>sokolova_av</t>
  </si>
  <si>
    <t>sokolova@mail.ru</t>
  </si>
  <si>
    <t>manager</t>
  </si>
  <si>
    <t>manager123</t>
  </si>
  <si>
    <t>manager@mail.ru</t>
  </si>
  <si>
    <t>Менеджер</t>
  </si>
  <si>
    <t>admin</t>
  </si>
  <si>
    <t>admin123</t>
  </si>
  <si>
    <t>admin@mail.ru</t>
  </si>
  <si>
    <t>Администратор</t>
  </si>
  <si>
    <t>Петрова Мария Олеговна</t>
  </si>
  <si>
    <t>petrova_mo</t>
  </si>
  <si>
    <t>petrova@mail.ru</t>
  </si>
  <si>
    <t>Смирнов Андрей Павлович</t>
  </si>
  <si>
    <t>smirnov_ap</t>
  </si>
  <si>
    <t>smirnov@mail.ru</t>
  </si>
  <si>
    <t>Егорова Светлана Ильинична</t>
  </si>
  <si>
    <t>egorova_si</t>
  </si>
  <si>
    <t>egorova@mail.ru</t>
  </si>
  <si>
    <t>Новиков Денис Алексеевич</t>
  </si>
  <si>
    <t>novikov_da</t>
  </si>
  <si>
    <t>novikov@mail.ru</t>
  </si>
  <si>
    <t>ProductName</t>
  </si>
  <si>
    <t>ProductTypeName</t>
  </si>
  <si>
    <t>Description</t>
  </si>
  <si>
    <t>Composition</t>
  </si>
  <si>
    <t>Price</t>
  </si>
  <si>
    <t>DiscountProcent</t>
  </si>
  <si>
    <t>IsDiscountActive</t>
  </si>
  <si>
    <t>MinStock</t>
  </si>
  <si>
    <t>QuantityInStock</t>
  </si>
  <si>
    <t>Image</t>
  </si>
  <si>
    <t>Арбидол</t>
  </si>
  <si>
    <t>Капсулы</t>
  </si>
  <si>
    <t>Противовирусное средство</t>
  </si>
  <si>
    <t>Умифеновир, крахмал, целлюлоза</t>
  </si>
  <si>
    <t>images/arbidol.png</t>
  </si>
  <si>
    <t>Кетанов</t>
  </si>
  <si>
    <t>Таблетки</t>
  </si>
  <si>
    <t>Обезболивающий препарат</t>
  </si>
  <si>
    <t>Кеторолак, крахмал, магния стеарат</t>
  </si>
  <si>
    <t>images/ketanov.png</t>
  </si>
  <si>
    <t>Мирамистин</t>
  </si>
  <si>
    <t>Спрей</t>
  </si>
  <si>
    <t>Антисептик широкого спектра действия</t>
  </si>
  <si>
    <t>Бензилдиметил аммоний хлорид, вода очищенная</t>
  </si>
  <si>
    <t>images/miramistin.png</t>
  </si>
  <si>
    <t>Нурофен</t>
  </si>
  <si>
    <t>Сироп</t>
  </si>
  <si>
    <t>Жаропонижающее и противовоспалительное средство</t>
  </si>
  <si>
    <t>Ибупрофен, сахароза, ароматизатор</t>
  </si>
  <si>
    <t>Парацетамол 500</t>
  </si>
  <si>
    <t>Средство для снижения температуры и боли</t>
  </si>
  <si>
    <t>Парацетамол, повидон, стеариновая кислота</t>
  </si>
  <si>
    <t>Аквалор Софт</t>
  </si>
  <si>
    <t>Спрей для орошения полости носа</t>
  </si>
  <si>
    <t>Морская вода, вода очищенная</t>
  </si>
  <si>
    <t>images/aqualor_soft.png</t>
  </si>
  <si>
    <t>ТераФлю</t>
  </si>
  <si>
    <t>Порошок</t>
  </si>
  <si>
    <t>Порошок для приготовления горячего напитка</t>
  </si>
  <si>
    <t>Парацетамол, фенирамин, фенилэфрин</t>
  </si>
  <si>
    <t>Левомеколь</t>
  </si>
  <si>
    <t>Мазь</t>
  </si>
  <si>
    <t>Мазь для наружного применения</t>
  </si>
  <si>
    <t>Хлорамфеникол, метилурацил, полиэтиленоксид</t>
  </si>
  <si>
    <t>images/levomekol.png</t>
  </si>
  <si>
    <t>Амоксициллин</t>
  </si>
  <si>
    <t>Антибактериальный препарат</t>
  </si>
  <si>
    <t>Амоксициллин тригидрат, желатин, диоксид титана</t>
  </si>
  <si>
    <t>Лизобакт</t>
  </si>
  <si>
    <t>Антисептическое средство для горла</t>
  </si>
  <si>
    <t>Лизоцим, пиридоксин, лактоза</t>
  </si>
  <si>
    <t>images/lizobakt.png</t>
  </si>
  <si>
    <t>Антигриппин</t>
  </si>
  <si>
    <t>Комбинированное средство при простуде</t>
  </si>
  <si>
    <t>Парацетамол, хлорфенамин, аскорбиновая кислота</t>
  </si>
  <si>
    <t>Антигриппин Макс</t>
  </si>
  <si>
    <t>Усиленная формула от симптомов простуды</t>
  </si>
  <si>
    <t>Парацетамол, рутозид, кальция глюконат</t>
  </si>
  <si>
    <t>Доктор Мом</t>
  </si>
  <si>
    <t>Растительный сироп от кашля</t>
  </si>
  <si>
    <t>Экстракты солодки, имбиря, ментол</t>
  </si>
  <si>
    <t>images/dr_mom.png</t>
  </si>
  <si>
    <t>Пантенол</t>
  </si>
  <si>
    <t>Средство для заживления кожи</t>
  </si>
  <si>
    <t>Декспантенол, ланолин, вазелин</t>
  </si>
  <si>
    <t>images/panthenol.png</t>
  </si>
  <si>
    <t>Супрастин</t>
  </si>
  <si>
    <t>Антигистаминное средство</t>
  </si>
  <si>
    <t>Хлоропирамин, лактоза, крахмал</t>
  </si>
  <si>
    <t>DeliveryAddress</t>
  </si>
  <si>
    <t>UserFIO</t>
  </si>
  <si>
    <t>UserLogin</t>
  </si>
  <si>
    <t>UserRole</t>
  </si>
  <si>
    <t>StatusName</t>
  </si>
  <si>
    <t>OrderDate</t>
  </si>
  <si>
    <t>DeliveryDate</t>
  </si>
  <si>
    <t>Quantity</t>
  </si>
  <si>
    <t>PriceInOrder</t>
  </si>
  <si>
    <t>LineTotal</t>
  </si>
  <si>
    <t>г. Москва, ул. Ленина, д. 15, кв. 24</t>
  </si>
  <si>
    <t>Новый</t>
  </si>
  <si>
    <t>2026-03-10 10:15:00</t>
  </si>
  <si>
    <t>2026-03-12 18:00:00</t>
  </si>
  <si>
    <t>г. Казань, ул. Победы, д. 7, кв. 12</t>
  </si>
  <si>
    <t>Доставлен</t>
  </si>
  <si>
    <t>2026-03-09 09:00:00</t>
  </si>
  <si>
    <t>2026-03-11 15:30:00</t>
  </si>
  <si>
    <t>г. Тула, пр-т Мира, д. 4</t>
  </si>
  <si>
    <t>Подтвержден</t>
  </si>
  <si>
    <t>2026-03-12 12:40:00</t>
  </si>
  <si>
    <t>2026-03-13 16:30:00</t>
  </si>
  <si>
    <t>г. Подольск, ул. Садовая, д. 11, кв. 5</t>
  </si>
  <si>
    <t>В доставке</t>
  </si>
  <si>
    <t>2026-03-13 08:25:00</t>
  </si>
  <si>
    <t>2026-03-14 14:00:00</t>
  </si>
  <si>
    <t>г. Москва, ул. Бутырская, д. 19</t>
  </si>
  <si>
    <t>Отменен</t>
  </si>
  <si>
    <t>2026-03-14 11:05:00</t>
  </si>
  <si>
    <t>2026-03-15 13:00:00</t>
  </si>
  <si>
    <t>г. Мытищи, ул. Мира, д. 11</t>
  </si>
  <si>
    <t>2026-03-08 17:20:00</t>
  </si>
  <si>
    <t>2026-03-10 12:00:00</t>
  </si>
  <si>
    <t>г. Одинцово, ул. Северная, д. 3</t>
  </si>
  <si>
    <t>2026-03-14 18:10:00</t>
  </si>
  <si>
    <t>2026-03-16 19:00:00</t>
  </si>
  <si>
    <t>id</t>
  </si>
  <si>
    <t>LastName</t>
  </si>
  <si>
    <t>FirstName</t>
  </si>
  <si>
    <t>Иванов</t>
  </si>
  <si>
    <t>Пётр</t>
  </si>
  <si>
    <t>Сергеевич</t>
  </si>
  <si>
    <t>Соколова</t>
  </si>
  <si>
    <t>Анна</t>
  </si>
  <si>
    <t>Викторовна</t>
  </si>
  <si>
    <t>Крылов</t>
  </si>
  <si>
    <t>Максим</t>
  </si>
  <si>
    <t>Игоревич</t>
  </si>
  <si>
    <t>Орлова</t>
  </si>
  <si>
    <t>Елена</t>
  </si>
  <si>
    <t>Дмитриевна</t>
  </si>
  <si>
    <t>Петрова</t>
  </si>
  <si>
    <t>Мария</t>
  </si>
  <si>
    <t>Олеговна</t>
  </si>
  <si>
    <t>Смирнов</t>
  </si>
  <si>
    <t>Андрей</t>
  </si>
  <si>
    <t>Павлович</t>
  </si>
  <si>
    <t>Егорова</t>
  </si>
  <si>
    <t>Светлана</t>
  </si>
  <si>
    <t>Ильинична</t>
  </si>
  <si>
    <t>Новиков</t>
  </si>
  <si>
    <t>Денис</t>
  </si>
  <si>
    <t>Алексеевич</t>
  </si>
  <si>
    <t>Surname</t>
  </si>
  <si>
    <t>ID</t>
  </si>
  <si>
    <t>RoleID</t>
  </si>
  <si>
    <t>Name</t>
  </si>
  <si>
    <t>ссылка на users</t>
  </si>
  <si>
    <t>ссылка на role</t>
  </si>
  <si>
    <t>новая таблица</t>
  </si>
  <si>
    <t>ссылка на продукт</t>
  </si>
  <si>
    <t>ссылка на тип продукта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</si>
</sst>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rgb="FFD9E2F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3" borderId="5" xfId="0" applyFont="1" applyFill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3" borderId="3" xfId="0" applyFont="1" applyFill="1" applyBorder="1" applyAlignment="1">
      <alignment vertical="top" wrapText="1"/>
    </xf>
    <xf numFmtId="0" fontId="0" fillId="3" borderId="4" xfId="0" applyFont="1" applyFill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0" xfId="0" applyFill="1"/>
  </cellXfs>
  <cellStyles count="1">
    <cellStyle name="Обычный" xfId="0" builtinId="0"/>
  </cellStyles>
  <dxfs count="4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UsersImport" displayName="tbl_UsersImport" ref="A1:H9">
  <autoFilter ref="A1:H9" xr:uid="{00000000-0009-0000-0100-000001000000}"/>
  <tableColumns count="8">
    <tableColumn id="1" xr3:uid="{00000000-0010-0000-0000-000001000000}" name="ID"/>
    <tableColumn id="2" xr3:uid="{00000000-0010-0000-0000-000002000000}" name="LastName"/>
    <tableColumn id="3" xr3:uid="{00000000-0010-0000-0000-000003000000}" name="FirstName"/>
    <tableColumn id="4" xr3:uid="{00000000-0010-0000-0000-000004000000}" name="Surname"/>
    <tableColumn id="5" xr3:uid="{00000000-0010-0000-0000-000005000000}" name="Login" dataDxfId="3"/>
    <tableColumn id="6" xr3:uid="{00000000-0010-0000-0000-000006000000}" name="Password" dataDxfId="2"/>
    <tableColumn id="8" xr3:uid="{316636C6-9ECE-4E8F-BB20-A9B1AE5C97DF}" name="Mail" dataDxfId="1"/>
    <tableColumn id="9" xr3:uid="{3B97CDAD-0770-484D-A253-6E85CE2FE073}" name="RoleI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oductsImport" displayName="tbl_ProductsImport" ref="A1:K16">
  <autoFilter ref="A1:K16" xr:uid="{00000000-0009-0000-0100-000002000000}"/>
  <tableColumns count="11">
    <tableColumn id="1" xr3:uid="{00000000-0010-0000-0100-000001000000}" name="ID"/>
    <tableColumn id="2" xr3:uid="{00000000-0010-0000-0100-000002000000}" name="ProductName"/>
    <tableColumn id="3" xr3:uid="{00000000-0010-0000-0100-000003000000}" name="ProductTypeName"/>
    <tableColumn id="4" xr3:uid="{00000000-0010-0000-0100-000004000000}" name="Description"/>
    <tableColumn id="5" xr3:uid="{00000000-0010-0000-0100-000005000000}" name="Composition"/>
    <tableColumn id="6" xr3:uid="{00000000-0010-0000-0100-000006000000}" name="Price"/>
    <tableColumn id="7" xr3:uid="{00000000-0010-0000-0100-000007000000}" name="DiscountProcent"/>
    <tableColumn id="8" xr3:uid="{00000000-0010-0000-0100-000008000000}" name="IsDiscountActive"/>
    <tableColumn id="9" xr3:uid="{00000000-0010-0000-0100-000009000000}" name="MinStock"/>
    <tableColumn id="10" xr3:uid="{00000000-0010-0000-0100-00000A000000}" name="QuantityInStock"/>
    <tableColumn id="11" xr3:uid="{00000000-0010-0000-0100-00000B000000}" name="Im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OrdersImport" displayName="tbl_OrdersImport" ref="B1:M13">
  <autoFilter ref="B1:M13" xr:uid="{00000000-0009-0000-0100-000003000000}"/>
  <tableColumns count="12">
    <tableColumn id="3" xr3:uid="{00000000-0010-0000-0200-000003000000}" name="DeliveryAddress"/>
    <tableColumn id="4" xr3:uid="{00000000-0010-0000-0200-000004000000}" name="UserFIO"/>
    <tableColumn id="5" xr3:uid="{00000000-0010-0000-0200-000005000000}" name="UserLogin"/>
    <tableColumn id="6" xr3:uid="{00000000-0010-0000-0200-000006000000}" name="UserRole"/>
    <tableColumn id="7" xr3:uid="{00000000-0010-0000-0200-000007000000}" name="StatusName">
      <calculatedColumnFormula>VLOOKUP(tbl_OrdersImport[[#This Row],[StatusName]],OrderStatus!$A$2:$B$6,2,0)</calculatedColumnFormula>
    </tableColumn>
    <tableColumn id="8" xr3:uid="{00000000-0010-0000-0200-000008000000}" name="OrderDate"/>
    <tableColumn id="9" xr3:uid="{00000000-0010-0000-0200-000009000000}" name="DeliveryDate"/>
    <tableColumn id="10" xr3:uid="{00000000-0010-0000-0200-00000A000000}" name="ProductName"/>
    <tableColumn id="11" xr3:uid="{00000000-0010-0000-0200-00000B000000}" name="ProductTypeName"/>
    <tableColumn id="12" xr3:uid="{00000000-0010-0000-0200-00000C000000}" name="Quantity"/>
    <tableColumn id="13" xr3:uid="{00000000-0010-0000-0200-00000D000000}" name="PriceInOrder"/>
    <tableColumn id="14" xr3:uid="{00000000-0010-0000-0200-00000E000000}" name="Line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workbookViewId="0">
      <pane ySplit="1" topLeftCell="A2" activePane="bottomLeft" state="frozen"/>
      <selection pane="bottomLeft" activeCell="D9" sqref="B2:D9"/>
    </sheetView>
  </sheetViews>
  <sheetFormatPr defaultRowHeight="15" x14ac:dyDescent="0.25"/>
  <cols>
    <col min="1" max="1" width="21.140625" customWidth="1"/>
    <col min="2" max="2" width="40.7109375" customWidth="1"/>
    <col min="3" max="3" width="34" customWidth="1"/>
    <col min="4" max="4" width="32" customWidth="1"/>
    <col min="5" max="5" width="40.7109375" customWidth="1"/>
    <col min="6" max="6" width="25.85546875" customWidth="1"/>
    <col min="7" max="7" width="17.85546875" customWidth="1"/>
    <col min="8" max="8" width="17" customWidth="1"/>
  </cols>
  <sheetData>
    <row r="1" spans="1:8" x14ac:dyDescent="0.25">
      <c r="A1" s="7" t="s">
        <v>164</v>
      </c>
      <c r="B1" s="7" t="s">
        <v>137</v>
      </c>
      <c r="C1" t="s">
        <v>138</v>
      </c>
      <c r="D1" t="s">
        <v>163</v>
      </c>
      <c r="E1" s="1" t="s">
        <v>0</v>
      </c>
      <c r="F1" s="1" t="s">
        <v>1</v>
      </c>
      <c r="G1" s="1" t="s">
        <v>2</v>
      </c>
      <c r="H1" s="7" t="s">
        <v>165</v>
      </c>
    </row>
    <row r="2" spans="1:8" ht="30" x14ac:dyDescent="0.25">
      <c r="A2" s="2">
        <v>1</v>
      </c>
      <c r="B2" s="2" t="s">
        <v>139</v>
      </c>
      <c r="C2" t="s">
        <v>140</v>
      </c>
      <c r="D2" t="s">
        <v>141</v>
      </c>
      <c r="E2" s="2" t="s">
        <v>4</v>
      </c>
      <c r="F2" s="2" t="s">
        <v>5</v>
      </c>
      <c r="G2" s="2" t="s">
        <v>6</v>
      </c>
      <c r="H2" s="2">
        <v>1</v>
      </c>
    </row>
    <row r="3" spans="1:8" ht="30" x14ac:dyDescent="0.25">
      <c r="A3" s="2">
        <v>2</v>
      </c>
      <c r="B3" s="2" t="s">
        <v>142</v>
      </c>
      <c r="C3" t="s">
        <v>143</v>
      </c>
      <c r="D3" t="s">
        <v>144</v>
      </c>
      <c r="E3" s="2" t="s">
        <v>9</v>
      </c>
      <c r="F3" s="2" t="s">
        <v>5</v>
      </c>
      <c r="G3" s="2" t="s">
        <v>10</v>
      </c>
      <c r="H3" s="2">
        <v>1</v>
      </c>
    </row>
    <row r="4" spans="1:8" ht="30" x14ac:dyDescent="0.25">
      <c r="A4" s="2">
        <v>3</v>
      </c>
      <c r="B4" s="2" t="s">
        <v>145</v>
      </c>
      <c r="C4" t="s">
        <v>146</v>
      </c>
      <c r="D4" t="s">
        <v>147</v>
      </c>
      <c r="E4" s="2" t="s">
        <v>11</v>
      </c>
      <c r="F4" s="2" t="s">
        <v>12</v>
      </c>
      <c r="G4" s="2" t="s">
        <v>13</v>
      </c>
      <c r="H4" s="2">
        <v>2</v>
      </c>
    </row>
    <row r="5" spans="1:8" ht="30" x14ac:dyDescent="0.25">
      <c r="A5" s="2">
        <v>4</v>
      </c>
      <c r="B5" s="2" t="s">
        <v>148</v>
      </c>
      <c r="C5" t="s">
        <v>149</v>
      </c>
      <c r="D5" t="s">
        <v>150</v>
      </c>
      <c r="E5" s="2" t="s">
        <v>15</v>
      </c>
      <c r="F5" s="2" t="s">
        <v>16</v>
      </c>
      <c r="G5" s="2" t="s">
        <v>17</v>
      </c>
      <c r="H5" s="2">
        <v>3</v>
      </c>
    </row>
    <row r="6" spans="1:8" ht="30" x14ac:dyDescent="0.25">
      <c r="A6" s="2">
        <v>5</v>
      </c>
      <c r="B6" s="2" t="s">
        <v>151</v>
      </c>
      <c r="C6" t="s">
        <v>152</v>
      </c>
      <c r="D6" t="s">
        <v>153</v>
      </c>
      <c r="E6" s="2" t="s">
        <v>20</v>
      </c>
      <c r="F6" s="2" t="s">
        <v>5</v>
      </c>
      <c r="G6" s="2" t="s">
        <v>21</v>
      </c>
      <c r="H6" s="2">
        <v>1</v>
      </c>
    </row>
    <row r="7" spans="1:8" ht="30" x14ac:dyDescent="0.25">
      <c r="A7" s="2">
        <v>6</v>
      </c>
      <c r="B7" s="2" t="s">
        <v>154</v>
      </c>
      <c r="C7" t="s">
        <v>155</v>
      </c>
      <c r="D7" t="s">
        <v>156</v>
      </c>
      <c r="E7" s="2" t="s">
        <v>23</v>
      </c>
      <c r="F7" s="2" t="s">
        <v>5</v>
      </c>
      <c r="G7" s="2" t="s">
        <v>24</v>
      </c>
      <c r="H7" s="2">
        <v>1</v>
      </c>
    </row>
    <row r="8" spans="1:8" ht="30" x14ac:dyDescent="0.25">
      <c r="A8" s="2">
        <v>7</v>
      </c>
      <c r="B8" s="2" t="s">
        <v>157</v>
      </c>
      <c r="C8" t="s">
        <v>158</v>
      </c>
      <c r="D8" t="s">
        <v>159</v>
      </c>
      <c r="E8" s="2" t="s">
        <v>26</v>
      </c>
      <c r="F8" s="2" t="s">
        <v>5</v>
      </c>
      <c r="G8" s="2" t="s">
        <v>27</v>
      </c>
      <c r="H8" s="2">
        <v>1</v>
      </c>
    </row>
    <row r="9" spans="1:8" ht="30" x14ac:dyDescent="0.25">
      <c r="A9" s="2">
        <v>8</v>
      </c>
      <c r="B9" s="2" t="s">
        <v>160</v>
      </c>
      <c r="C9" t="s">
        <v>161</v>
      </c>
      <c r="D9" t="s">
        <v>162</v>
      </c>
      <c r="E9" s="2" t="s">
        <v>29</v>
      </c>
      <c r="F9" s="2" t="s">
        <v>5</v>
      </c>
      <c r="G9" s="2" t="s">
        <v>30</v>
      </c>
      <c r="H9" s="2">
        <v>2</v>
      </c>
    </row>
    <row r="15" spans="1:8" x14ac:dyDescent="0.25">
      <c r="D15" s="10"/>
      <c r="E15" s="9"/>
    </row>
    <row r="16" spans="1:8" x14ac:dyDescent="0.25">
      <c r="D16" s="12"/>
      <c r="E16" s="11"/>
    </row>
    <row r="17" spans="4:5" x14ac:dyDescent="0.25">
      <c r="D17" s="10"/>
      <c r="E17" s="9"/>
    </row>
    <row r="18" spans="4:5" x14ac:dyDescent="0.25">
      <c r="D18" s="12"/>
      <c r="E18" s="11"/>
    </row>
    <row r="19" spans="4:5" x14ac:dyDescent="0.25">
      <c r="D19" s="10"/>
      <c r="E19" s="9"/>
    </row>
    <row r="20" spans="4:5" x14ac:dyDescent="0.25">
      <c r="D20" s="12"/>
      <c r="E20" s="11"/>
    </row>
    <row r="21" spans="4:5" x14ac:dyDescent="0.25">
      <c r="D21" s="10"/>
      <c r="E21" s="9"/>
    </row>
    <row r="22" spans="4:5" x14ac:dyDescent="0.25">
      <c r="D22" s="12"/>
      <c r="E22" s="11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636E-3E39-4FA1-B2B0-66E65AFA0B85}">
  <dimension ref="A1:B4"/>
  <sheetViews>
    <sheetView workbookViewId="0">
      <selection activeCell="B2" sqref="B2"/>
    </sheetView>
  </sheetViews>
  <sheetFormatPr defaultRowHeight="15" x14ac:dyDescent="0.25"/>
  <cols>
    <col min="1" max="1" width="23.28515625" customWidth="1"/>
  </cols>
  <sheetData>
    <row r="1" spans="1:2" x14ac:dyDescent="0.25">
      <c r="A1" s="6" t="s">
        <v>166</v>
      </c>
      <c r="B1" t="s">
        <v>164</v>
      </c>
    </row>
    <row r="2" spans="1:2" ht="30" x14ac:dyDescent="0.25">
      <c r="A2" s="4" t="s">
        <v>7</v>
      </c>
      <c r="B2">
        <v>1</v>
      </c>
    </row>
    <row r="3" spans="1:2" x14ac:dyDescent="0.25">
      <c r="A3" s="4" t="s">
        <v>14</v>
      </c>
      <c r="B3">
        <v>2</v>
      </c>
    </row>
    <row r="4" spans="1:2" x14ac:dyDescent="0.25">
      <c r="A4" s="5" t="s">
        <v>18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pane ySplit="1" topLeftCell="A2" activePane="bottomLeft" state="frozen"/>
      <selection pane="bottomLeft" activeCell="A2" sqref="A2:B16"/>
    </sheetView>
  </sheetViews>
  <sheetFormatPr defaultRowHeight="15" x14ac:dyDescent="0.25"/>
  <cols>
    <col min="1" max="1" width="12" customWidth="1"/>
    <col min="2" max="2" width="18" customWidth="1"/>
    <col min="3" max="3" width="17" customWidth="1"/>
    <col min="4" max="5" width="40" customWidth="1"/>
    <col min="6" max="6" width="12" customWidth="1"/>
    <col min="7" max="7" width="27.85546875" customWidth="1"/>
    <col min="8" max="8" width="23.140625" customWidth="1"/>
    <col min="9" max="9" width="21.7109375" customWidth="1"/>
    <col min="10" max="10" width="25" customWidth="1"/>
    <col min="11" max="11" width="31.28515625" customWidth="1"/>
  </cols>
  <sheetData>
    <row r="1" spans="1:11" ht="30" x14ac:dyDescent="0.25">
      <c r="A1" s="7" t="s">
        <v>164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x14ac:dyDescent="0.25">
      <c r="A2" s="2">
        <v>1</v>
      </c>
      <c r="B2" s="2" t="s">
        <v>41</v>
      </c>
      <c r="C2" s="2">
        <v>1</v>
      </c>
      <c r="D2" s="2" t="s">
        <v>43</v>
      </c>
      <c r="E2" s="2" t="s">
        <v>44</v>
      </c>
      <c r="F2" s="3">
        <v>420</v>
      </c>
      <c r="G2" s="2">
        <v>15</v>
      </c>
      <c r="H2" s="2">
        <v>1</v>
      </c>
      <c r="I2" s="2">
        <v>10</v>
      </c>
      <c r="J2" s="2">
        <v>58</v>
      </c>
      <c r="K2" s="2" t="s">
        <v>45</v>
      </c>
    </row>
    <row r="3" spans="1:11" x14ac:dyDescent="0.25">
      <c r="A3" s="2">
        <v>2</v>
      </c>
      <c r="B3" s="2" t="s">
        <v>46</v>
      </c>
      <c r="C3" s="2">
        <v>2</v>
      </c>
      <c r="D3" s="2" t="s">
        <v>48</v>
      </c>
      <c r="E3" s="2" t="s">
        <v>49</v>
      </c>
      <c r="F3" s="3">
        <v>185.5</v>
      </c>
      <c r="G3" s="2">
        <v>5</v>
      </c>
      <c r="H3" s="2">
        <v>1</v>
      </c>
      <c r="I3" s="2">
        <v>12</v>
      </c>
      <c r="J3" s="2">
        <v>103</v>
      </c>
      <c r="K3" s="2" t="s">
        <v>50</v>
      </c>
    </row>
    <row r="4" spans="1:11" ht="30" x14ac:dyDescent="0.25">
      <c r="A4" s="2">
        <v>3</v>
      </c>
      <c r="B4" s="2" t="s">
        <v>51</v>
      </c>
      <c r="C4" s="2">
        <v>3</v>
      </c>
      <c r="D4" s="2" t="s">
        <v>53</v>
      </c>
      <c r="E4" s="2" t="s">
        <v>54</v>
      </c>
      <c r="F4" s="3">
        <v>359.99</v>
      </c>
      <c r="G4" s="2">
        <v>12</v>
      </c>
      <c r="H4" s="2">
        <v>1</v>
      </c>
      <c r="I4" s="2">
        <v>8</v>
      </c>
      <c r="J4" s="2">
        <v>47</v>
      </c>
      <c r="K4" s="2" t="s">
        <v>55</v>
      </c>
    </row>
    <row r="5" spans="1:11" ht="30" x14ac:dyDescent="0.25">
      <c r="A5" s="2">
        <v>4</v>
      </c>
      <c r="B5" s="2" t="s">
        <v>56</v>
      </c>
      <c r="C5" s="2">
        <v>4</v>
      </c>
      <c r="D5" s="2" t="s">
        <v>58</v>
      </c>
      <c r="E5" s="2" t="s">
        <v>59</v>
      </c>
      <c r="F5" s="3">
        <v>276.39999999999998</v>
      </c>
      <c r="G5" s="2">
        <v>0</v>
      </c>
      <c r="H5" s="2">
        <v>0</v>
      </c>
      <c r="I5" s="2">
        <v>15</v>
      </c>
      <c r="J5" s="2">
        <v>64</v>
      </c>
      <c r="K5" s="2"/>
    </row>
    <row r="6" spans="1:11" ht="30" x14ac:dyDescent="0.25">
      <c r="A6" s="2">
        <v>5</v>
      </c>
      <c r="B6" s="2" t="s">
        <v>60</v>
      </c>
      <c r="C6" s="2">
        <v>2</v>
      </c>
      <c r="D6" s="2" t="s">
        <v>61</v>
      </c>
      <c r="E6" s="2" t="s">
        <v>62</v>
      </c>
      <c r="F6" s="3">
        <v>79.900000000000006</v>
      </c>
      <c r="G6" s="2">
        <v>20</v>
      </c>
      <c r="H6" s="2">
        <v>1</v>
      </c>
      <c r="I6" s="2">
        <v>30</v>
      </c>
      <c r="J6" s="2">
        <v>210</v>
      </c>
      <c r="K6" s="2"/>
    </row>
    <row r="7" spans="1:11" x14ac:dyDescent="0.25">
      <c r="A7" s="2">
        <v>6</v>
      </c>
      <c r="B7" s="2" t="s">
        <v>63</v>
      </c>
      <c r="C7" s="2">
        <v>3</v>
      </c>
      <c r="D7" s="2" t="s">
        <v>64</v>
      </c>
      <c r="E7" s="2" t="s">
        <v>65</v>
      </c>
      <c r="F7" s="3">
        <v>315</v>
      </c>
      <c r="G7" s="2">
        <v>10</v>
      </c>
      <c r="H7" s="2">
        <v>1</v>
      </c>
      <c r="I7" s="2">
        <v>7</v>
      </c>
      <c r="J7" s="2">
        <v>39</v>
      </c>
      <c r="K7" s="2" t="s">
        <v>66</v>
      </c>
    </row>
    <row r="8" spans="1:11" ht="30" x14ac:dyDescent="0.25">
      <c r="A8" s="2">
        <v>7</v>
      </c>
      <c r="B8" s="2" t="s">
        <v>67</v>
      </c>
      <c r="C8" s="2">
        <v>5</v>
      </c>
      <c r="D8" s="2" t="s">
        <v>69</v>
      </c>
      <c r="E8" s="2" t="s">
        <v>70</v>
      </c>
      <c r="F8" s="3">
        <v>510</v>
      </c>
      <c r="G8" s="2">
        <v>7</v>
      </c>
      <c r="H8" s="2">
        <v>1</v>
      </c>
      <c r="I8" s="2">
        <v>9</v>
      </c>
      <c r="J8" s="2">
        <v>26</v>
      </c>
      <c r="K8" s="2"/>
    </row>
    <row r="9" spans="1:11" ht="30" x14ac:dyDescent="0.25">
      <c r="A9" s="2">
        <v>8</v>
      </c>
      <c r="B9" s="2" t="s">
        <v>71</v>
      </c>
      <c r="C9" s="2">
        <v>6</v>
      </c>
      <c r="D9" s="2" t="s">
        <v>73</v>
      </c>
      <c r="E9" s="2" t="s">
        <v>74</v>
      </c>
      <c r="F9" s="3">
        <v>198.75</v>
      </c>
      <c r="G9" s="2">
        <v>18</v>
      </c>
      <c r="H9" s="2">
        <v>1</v>
      </c>
      <c r="I9" s="2">
        <v>6</v>
      </c>
      <c r="J9" s="2">
        <v>17</v>
      </c>
      <c r="K9" s="2" t="s">
        <v>75</v>
      </c>
    </row>
    <row r="10" spans="1:11" ht="30" x14ac:dyDescent="0.25">
      <c r="A10" s="2">
        <v>9</v>
      </c>
      <c r="B10" s="2" t="s">
        <v>76</v>
      </c>
      <c r="C10" s="2">
        <v>1</v>
      </c>
      <c r="D10" s="2" t="s">
        <v>77</v>
      </c>
      <c r="E10" s="2" t="s">
        <v>78</v>
      </c>
      <c r="F10" s="3">
        <v>239.3</v>
      </c>
      <c r="G10" s="2">
        <v>0</v>
      </c>
      <c r="H10" s="2">
        <v>0</v>
      </c>
      <c r="I10" s="2">
        <v>14</v>
      </c>
      <c r="J10" s="2">
        <v>33</v>
      </c>
      <c r="K10" s="2"/>
    </row>
    <row r="11" spans="1:11" x14ac:dyDescent="0.25">
      <c r="A11" s="2">
        <v>10</v>
      </c>
      <c r="B11" s="2" t="s">
        <v>79</v>
      </c>
      <c r="C11" s="2">
        <v>2</v>
      </c>
      <c r="D11" s="2" t="s">
        <v>80</v>
      </c>
      <c r="E11" s="2" t="s">
        <v>81</v>
      </c>
      <c r="F11" s="3">
        <v>332.2</v>
      </c>
      <c r="G11" s="2">
        <v>11</v>
      </c>
      <c r="H11" s="2">
        <v>1</v>
      </c>
      <c r="I11" s="2">
        <v>11</v>
      </c>
      <c r="J11" s="2">
        <v>52</v>
      </c>
      <c r="K11" s="2" t="s">
        <v>82</v>
      </c>
    </row>
    <row r="12" spans="1:11" ht="30" x14ac:dyDescent="0.25">
      <c r="A12" s="2">
        <v>11</v>
      </c>
      <c r="B12" s="2" t="s">
        <v>83</v>
      </c>
      <c r="C12" s="2">
        <v>5</v>
      </c>
      <c r="D12" s="2" t="s">
        <v>84</v>
      </c>
      <c r="E12" s="2" t="s">
        <v>85</v>
      </c>
      <c r="F12" s="3">
        <v>289.89999999999998</v>
      </c>
      <c r="G12" s="2">
        <v>8</v>
      </c>
      <c r="H12" s="2">
        <v>1</v>
      </c>
      <c r="I12" s="2">
        <v>10</v>
      </c>
      <c r="J12" s="2">
        <v>44</v>
      </c>
      <c r="K12" s="2"/>
    </row>
    <row r="13" spans="1:11" ht="30" x14ac:dyDescent="0.25">
      <c r="A13" s="2">
        <v>12</v>
      </c>
      <c r="B13" s="2" t="s">
        <v>86</v>
      </c>
      <c r="C13" s="2">
        <v>5</v>
      </c>
      <c r="D13" s="2" t="s">
        <v>87</v>
      </c>
      <c r="E13" s="2" t="s">
        <v>88</v>
      </c>
      <c r="F13" s="3">
        <v>349</v>
      </c>
      <c r="G13" s="2">
        <v>13</v>
      </c>
      <c r="H13" s="2">
        <v>1</v>
      </c>
      <c r="I13" s="2">
        <v>8</v>
      </c>
      <c r="J13" s="2">
        <v>22</v>
      </c>
      <c r="K13" s="2"/>
    </row>
    <row r="14" spans="1:11" x14ac:dyDescent="0.25">
      <c r="A14" s="2">
        <v>13</v>
      </c>
      <c r="B14" s="2" t="s">
        <v>89</v>
      </c>
      <c r="C14" s="2">
        <v>4</v>
      </c>
      <c r="D14" s="2" t="s">
        <v>90</v>
      </c>
      <c r="E14" s="2" t="s">
        <v>91</v>
      </c>
      <c r="F14" s="3">
        <v>264.5</v>
      </c>
      <c r="G14" s="2">
        <v>6</v>
      </c>
      <c r="H14" s="2">
        <v>1</v>
      </c>
      <c r="I14" s="2">
        <v>12</v>
      </c>
      <c r="J14" s="2">
        <v>31</v>
      </c>
      <c r="K14" s="2" t="s">
        <v>92</v>
      </c>
    </row>
    <row r="15" spans="1:11" x14ac:dyDescent="0.25">
      <c r="A15" s="2">
        <v>14</v>
      </c>
      <c r="B15" s="2" t="s">
        <v>93</v>
      </c>
      <c r="C15" s="2">
        <v>6</v>
      </c>
      <c r="D15" s="2" t="s">
        <v>94</v>
      </c>
      <c r="E15" s="2" t="s">
        <v>95</v>
      </c>
      <c r="F15" s="3">
        <v>245</v>
      </c>
      <c r="G15" s="2">
        <v>9</v>
      </c>
      <c r="H15" s="2">
        <v>1</v>
      </c>
      <c r="I15" s="2">
        <v>5</v>
      </c>
      <c r="J15" s="2">
        <v>19</v>
      </c>
      <c r="K15" s="2" t="s">
        <v>96</v>
      </c>
    </row>
    <row r="16" spans="1:11" x14ac:dyDescent="0.25">
      <c r="A16" s="2">
        <v>15</v>
      </c>
      <c r="B16" s="2" t="s">
        <v>97</v>
      </c>
      <c r="C16" s="2">
        <v>2</v>
      </c>
      <c r="D16" s="2" t="s">
        <v>98</v>
      </c>
      <c r="E16" s="2" t="s">
        <v>99</v>
      </c>
      <c r="F16" s="3">
        <v>168.8</v>
      </c>
      <c r="G16" s="2">
        <v>4</v>
      </c>
      <c r="H16" s="2">
        <v>1</v>
      </c>
      <c r="I16" s="2">
        <v>10</v>
      </c>
      <c r="J16" s="2">
        <v>61</v>
      </c>
      <c r="K16" s="2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6948-BD70-4E94-B3D2-7F2FBA85A0E0}">
  <dimension ref="A1:B7"/>
  <sheetViews>
    <sheetView workbookViewId="0">
      <selection activeCell="C38" sqref="C38"/>
    </sheetView>
  </sheetViews>
  <sheetFormatPr defaultRowHeight="15" x14ac:dyDescent="0.25"/>
  <cols>
    <col min="1" max="1" width="17" customWidth="1"/>
  </cols>
  <sheetData>
    <row r="1" spans="1:2" x14ac:dyDescent="0.25">
      <c r="A1" s="1" t="s">
        <v>166</v>
      </c>
      <c r="B1" t="s">
        <v>164</v>
      </c>
    </row>
    <row r="2" spans="1:2" x14ac:dyDescent="0.25">
      <c r="A2" s="2" t="s">
        <v>42</v>
      </c>
      <c r="B2">
        <v>1</v>
      </c>
    </row>
    <row r="3" spans="1:2" x14ac:dyDescent="0.25">
      <c r="A3" s="2" t="s">
        <v>47</v>
      </c>
      <c r="B3">
        <v>2</v>
      </c>
    </row>
    <row r="4" spans="1:2" x14ac:dyDescent="0.25">
      <c r="A4" s="2" t="s">
        <v>52</v>
      </c>
      <c r="B4">
        <v>3</v>
      </c>
    </row>
    <row r="5" spans="1:2" x14ac:dyDescent="0.25">
      <c r="A5" s="2" t="s">
        <v>57</v>
      </c>
      <c r="B5">
        <v>4</v>
      </c>
    </row>
    <row r="6" spans="1:2" x14ac:dyDescent="0.25">
      <c r="A6" s="2" t="s">
        <v>68</v>
      </c>
      <c r="B6">
        <v>5</v>
      </c>
    </row>
    <row r="7" spans="1:2" x14ac:dyDescent="0.25">
      <c r="A7" s="2" t="s">
        <v>72</v>
      </c>
      <c r="B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9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40" customWidth="1"/>
    <col min="2" max="2" width="28" customWidth="1"/>
    <col min="3" max="3" width="15.7109375" customWidth="1"/>
    <col min="4" max="4" width="14" customWidth="1"/>
    <col min="5" max="5" width="18.7109375" customWidth="1"/>
    <col min="6" max="7" width="21" customWidth="1"/>
    <col min="8" max="8" width="18" customWidth="1"/>
    <col min="9" max="9" width="24.7109375" customWidth="1"/>
    <col min="10" max="10" width="9.42578125" customWidth="1"/>
    <col min="11" max="11" width="10.5703125" customWidth="1"/>
    <col min="12" max="12" width="30.5703125" customWidth="1"/>
  </cols>
  <sheetData>
    <row r="1" spans="1:16" ht="45" x14ac:dyDescent="0.25">
      <c r="A1" t="s">
        <v>136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31</v>
      </c>
      <c r="J1" s="1" t="s">
        <v>32</v>
      </c>
      <c r="K1" s="1" t="s">
        <v>107</v>
      </c>
      <c r="L1" s="1" t="s">
        <v>108</v>
      </c>
      <c r="M1" s="1" t="s">
        <v>109</v>
      </c>
    </row>
    <row r="2" spans="1:16" ht="30" x14ac:dyDescent="0.25">
      <c r="A2">
        <v>1</v>
      </c>
      <c r="B2" s="2" t="s">
        <v>110</v>
      </c>
      <c r="C2" s="2" t="s">
        <v>3</v>
      </c>
      <c r="D2" s="2">
        <v>1</v>
      </c>
      <c r="E2" s="2">
        <v>1</v>
      </c>
      <c r="F2">
        <f ca="1">VLOOKUP(tbl_OrdersImport[[#This Row],[StatusName]],OrderStatus!$A$2:$B$6,2,0)</f>
        <v>1</v>
      </c>
      <c r="G2" s="2" t="s">
        <v>112</v>
      </c>
      <c r="H2" s="2" t="s">
        <v>113</v>
      </c>
      <c r="I2" s="2">
        <v>1</v>
      </c>
      <c r="J2" s="2">
        <v>1</v>
      </c>
      <c r="K2" s="2">
        <v>2</v>
      </c>
      <c r="L2" s="3">
        <v>357</v>
      </c>
      <c r="M2" s="3">
        <v>714</v>
      </c>
      <c r="N2" s="10"/>
      <c r="O2" s="9"/>
    </row>
    <row r="3" spans="1:16" ht="30" x14ac:dyDescent="0.25">
      <c r="A3">
        <v>2</v>
      </c>
      <c r="B3" s="2" t="s">
        <v>110</v>
      </c>
      <c r="C3" s="2" t="s">
        <v>3</v>
      </c>
      <c r="D3" s="2">
        <v>1</v>
      </c>
      <c r="E3" s="2">
        <v>1</v>
      </c>
      <c r="F3">
        <f ca="1">VLOOKUP(tbl_OrdersImport[[#This Row],[StatusName]],OrderStatus!$A$2:$B$6,2,0)</f>
        <v>1</v>
      </c>
      <c r="G3" s="2" t="s">
        <v>112</v>
      </c>
      <c r="H3" s="2" t="s">
        <v>113</v>
      </c>
      <c r="I3" s="2">
        <v>3</v>
      </c>
      <c r="J3" s="2">
        <v>3</v>
      </c>
      <c r="K3" s="2">
        <v>1</v>
      </c>
      <c r="L3" s="3">
        <v>316.79000000000002</v>
      </c>
      <c r="M3" s="3">
        <v>316.79000000000002</v>
      </c>
      <c r="N3" s="12"/>
      <c r="O3" s="11"/>
    </row>
    <row r="4" spans="1:16" ht="30" x14ac:dyDescent="0.25">
      <c r="A4">
        <v>3</v>
      </c>
      <c r="B4" s="2" t="s">
        <v>114</v>
      </c>
      <c r="C4" s="2" t="s">
        <v>8</v>
      </c>
      <c r="D4" s="2">
        <v>2</v>
      </c>
      <c r="E4" s="2">
        <v>1</v>
      </c>
      <c r="F4">
        <f ca="1">VLOOKUP(tbl_OrdersImport[[#This Row],[StatusName]],OrderStatus!$A$2:$B$6,2,0)</f>
        <v>2</v>
      </c>
      <c r="G4" s="2" t="s">
        <v>116</v>
      </c>
      <c r="H4" s="2" t="s">
        <v>117</v>
      </c>
      <c r="I4" s="2">
        <v>5</v>
      </c>
      <c r="J4" s="2">
        <v>2</v>
      </c>
      <c r="K4" s="2">
        <v>3</v>
      </c>
      <c r="L4" s="3">
        <v>63.92</v>
      </c>
      <c r="M4" s="3">
        <v>191.76</v>
      </c>
      <c r="N4" s="10"/>
      <c r="O4" s="9"/>
    </row>
    <row r="5" spans="1:16" ht="30" x14ac:dyDescent="0.25">
      <c r="A5">
        <v>4</v>
      </c>
      <c r="B5" s="2" t="s">
        <v>114</v>
      </c>
      <c r="C5" s="2" t="s">
        <v>8</v>
      </c>
      <c r="D5" s="2">
        <v>2</v>
      </c>
      <c r="E5" s="2">
        <v>1</v>
      </c>
      <c r="F5">
        <f ca="1">VLOOKUP(tbl_OrdersImport[[#This Row],[StatusName]],OrderStatus!$A$2:$B$6,2,0)</f>
        <v>2</v>
      </c>
      <c r="G5" s="2" t="s">
        <v>116</v>
      </c>
      <c r="H5" s="2" t="s">
        <v>117</v>
      </c>
      <c r="I5" s="2">
        <v>10</v>
      </c>
      <c r="J5" s="2">
        <v>2</v>
      </c>
      <c r="K5" s="2">
        <v>1</v>
      </c>
      <c r="L5" s="3">
        <v>295.66000000000003</v>
      </c>
      <c r="M5" s="3">
        <v>295.66000000000003</v>
      </c>
      <c r="N5" s="12"/>
      <c r="O5" s="11"/>
    </row>
    <row r="6" spans="1:16" ht="30" x14ac:dyDescent="0.25">
      <c r="A6">
        <v>5</v>
      </c>
      <c r="B6" s="2" t="s">
        <v>118</v>
      </c>
      <c r="C6" s="2" t="s">
        <v>19</v>
      </c>
      <c r="D6" s="2">
        <v>5</v>
      </c>
      <c r="E6" s="2">
        <v>1</v>
      </c>
      <c r="F6">
        <f ca="1">VLOOKUP(tbl_OrdersImport[[#This Row],[StatusName]],OrderStatus!$A$2:$B$6,2,0)</f>
        <v>3</v>
      </c>
      <c r="G6" s="2" t="s">
        <v>120</v>
      </c>
      <c r="H6" s="2" t="s">
        <v>121</v>
      </c>
      <c r="I6" s="2">
        <v>2</v>
      </c>
      <c r="J6" s="2">
        <v>2</v>
      </c>
      <c r="K6" s="2">
        <v>1</v>
      </c>
      <c r="L6" s="3">
        <v>176.23</v>
      </c>
      <c r="M6" s="3">
        <v>176.23</v>
      </c>
      <c r="N6" s="10"/>
      <c r="O6" s="9"/>
    </row>
    <row r="7" spans="1:16" ht="30" x14ac:dyDescent="0.25">
      <c r="A7">
        <v>6</v>
      </c>
      <c r="B7" s="2" t="s">
        <v>118</v>
      </c>
      <c r="C7" s="2" t="s">
        <v>19</v>
      </c>
      <c r="D7" s="2">
        <v>5</v>
      </c>
      <c r="E7" s="2">
        <v>1</v>
      </c>
      <c r="F7">
        <f ca="1">VLOOKUP(tbl_OrdersImport[[#This Row],[StatusName]],OrderStatus!$A$2:$B$6,2,0)</f>
        <v>3</v>
      </c>
      <c r="G7" s="2" t="s">
        <v>120</v>
      </c>
      <c r="H7" s="2" t="s">
        <v>121</v>
      </c>
      <c r="I7" s="2">
        <v>6</v>
      </c>
      <c r="J7" s="2">
        <v>3</v>
      </c>
      <c r="K7" s="2">
        <v>1</v>
      </c>
      <c r="L7" s="3">
        <v>315</v>
      </c>
      <c r="M7" s="3">
        <v>315</v>
      </c>
      <c r="N7" s="12"/>
      <c r="O7" s="11"/>
    </row>
    <row r="8" spans="1:16" ht="45" x14ac:dyDescent="0.25">
      <c r="A8">
        <v>7</v>
      </c>
      <c r="B8" s="2" t="s">
        <v>122</v>
      </c>
      <c r="C8" s="2" t="s">
        <v>22</v>
      </c>
      <c r="D8" s="2">
        <v>6</v>
      </c>
      <c r="E8" s="2">
        <v>1</v>
      </c>
      <c r="F8">
        <f ca="1">VLOOKUP(tbl_OrdersImport[[#This Row],[StatusName]],OrderStatus!$A$2:$B$6,2,0)</f>
        <v>4</v>
      </c>
      <c r="G8" s="2" t="s">
        <v>124</v>
      </c>
      <c r="H8" s="2" t="s">
        <v>125</v>
      </c>
      <c r="I8" s="2">
        <v>8</v>
      </c>
      <c r="J8" s="2">
        <v>6</v>
      </c>
      <c r="K8" s="2">
        <v>2</v>
      </c>
      <c r="L8" s="3">
        <v>162.97999999999999</v>
      </c>
      <c r="M8" s="3">
        <v>325.95999999999998</v>
      </c>
      <c r="N8" s="10"/>
      <c r="O8" s="9"/>
    </row>
    <row r="9" spans="1:16" ht="45" x14ac:dyDescent="0.25">
      <c r="A9">
        <v>8</v>
      </c>
      <c r="B9" s="2" t="s">
        <v>122</v>
      </c>
      <c r="C9" s="2" t="s">
        <v>22</v>
      </c>
      <c r="D9" s="2">
        <v>6</v>
      </c>
      <c r="E9" s="2">
        <v>1</v>
      </c>
      <c r="F9">
        <f ca="1">VLOOKUP(tbl_OrdersImport[[#This Row],[StatusName]],OrderStatus!$A$2:$B$6,2,0)</f>
        <v>4</v>
      </c>
      <c r="G9" s="2" t="s">
        <v>124</v>
      </c>
      <c r="H9" s="2" t="s">
        <v>125</v>
      </c>
      <c r="I9" s="2">
        <v>13</v>
      </c>
      <c r="J9" s="2">
        <v>4</v>
      </c>
      <c r="K9" s="2">
        <v>1</v>
      </c>
      <c r="L9" s="3">
        <v>248.63</v>
      </c>
      <c r="M9" s="3">
        <v>248.63</v>
      </c>
      <c r="N9" s="12"/>
      <c r="O9" s="11"/>
    </row>
    <row r="10" spans="1:16" ht="45" x14ac:dyDescent="0.25">
      <c r="A10">
        <v>9</v>
      </c>
      <c r="B10" s="2" t="s">
        <v>126</v>
      </c>
      <c r="C10" s="2" t="s">
        <v>25</v>
      </c>
      <c r="D10" s="2">
        <v>7</v>
      </c>
      <c r="E10" s="2">
        <v>1</v>
      </c>
      <c r="F10">
        <f ca="1">VLOOKUP(tbl_OrdersImport[[#This Row],[StatusName]],OrderStatus!$A$2:$B$6,2,0)</f>
        <v>5</v>
      </c>
      <c r="G10" s="2" t="s">
        <v>128</v>
      </c>
      <c r="H10" s="2" t="s">
        <v>129</v>
      </c>
      <c r="I10" s="2">
        <v>7</v>
      </c>
      <c r="J10" s="2">
        <v>5</v>
      </c>
      <c r="K10" s="2">
        <v>1</v>
      </c>
      <c r="L10" s="3">
        <v>474.3</v>
      </c>
      <c r="M10" s="3">
        <v>474.3</v>
      </c>
      <c r="N10" s="14"/>
      <c r="O10" s="15"/>
    </row>
    <row r="11" spans="1:16" ht="30" x14ac:dyDescent="0.25">
      <c r="A11">
        <v>10</v>
      </c>
      <c r="B11" s="2" t="s">
        <v>130</v>
      </c>
      <c r="C11" s="2" t="s">
        <v>3</v>
      </c>
      <c r="D11" s="2">
        <v>1</v>
      </c>
      <c r="E11" s="2">
        <v>1</v>
      </c>
      <c r="F11">
        <f ca="1">VLOOKUP(tbl_OrdersImport[[#This Row],[StatusName]],OrderStatus!$A$2:$B$6,2,0)</f>
        <v>2</v>
      </c>
      <c r="G11" s="2" t="s">
        <v>131</v>
      </c>
      <c r="H11" s="2" t="s">
        <v>132</v>
      </c>
      <c r="I11" s="2">
        <v>4</v>
      </c>
      <c r="J11" s="2">
        <v>4</v>
      </c>
      <c r="K11" s="2">
        <v>1</v>
      </c>
      <c r="L11" s="3">
        <v>276.39999999999998</v>
      </c>
      <c r="M11" s="3">
        <v>276.39999999999998</v>
      </c>
      <c r="N11" s="14"/>
      <c r="O11" s="15"/>
    </row>
    <row r="12" spans="1:16" ht="30" x14ac:dyDescent="0.25">
      <c r="A12">
        <v>11</v>
      </c>
      <c r="B12" s="2" t="s">
        <v>130</v>
      </c>
      <c r="C12" s="2" t="s">
        <v>3</v>
      </c>
      <c r="D12" s="2">
        <v>1</v>
      </c>
      <c r="E12" s="2">
        <v>1</v>
      </c>
      <c r="F12">
        <f ca="1">VLOOKUP(tbl_OrdersImport[[#This Row],[StatusName]],OrderStatus!$A$2:$B$6,2,0)</f>
        <v>2</v>
      </c>
      <c r="G12" s="2" t="s">
        <v>131</v>
      </c>
      <c r="H12" s="2" t="s">
        <v>132</v>
      </c>
      <c r="I12" s="2">
        <v>15</v>
      </c>
      <c r="J12" s="2">
        <v>2</v>
      </c>
      <c r="K12" s="2">
        <v>2</v>
      </c>
      <c r="L12" s="3">
        <v>162.05000000000001</v>
      </c>
      <c r="M12" s="3">
        <v>324.10000000000002</v>
      </c>
      <c r="N12" s="14"/>
      <c r="O12" s="15"/>
    </row>
    <row r="13" spans="1:16" ht="30" x14ac:dyDescent="0.25">
      <c r="A13">
        <v>12</v>
      </c>
      <c r="B13" s="2" t="s">
        <v>133</v>
      </c>
      <c r="C13" s="2" t="s">
        <v>28</v>
      </c>
      <c r="D13" s="2">
        <v>8</v>
      </c>
      <c r="E13" s="2">
        <v>2</v>
      </c>
      <c r="F13">
        <f ca="1">VLOOKUP(tbl_OrdersImport[[#This Row],[StatusName]],OrderStatus!$A$2:$B$6,2,0)</f>
        <v>1</v>
      </c>
      <c r="G13" s="2" t="s">
        <v>134</v>
      </c>
      <c r="H13" s="2" t="s">
        <v>135</v>
      </c>
      <c r="I13" s="2">
        <v>12</v>
      </c>
      <c r="J13" s="2">
        <v>5</v>
      </c>
      <c r="K13" s="2">
        <v>1</v>
      </c>
      <c r="L13" s="3">
        <v>303.63</v>
      </c>
      <c r="M13" s="3">
        <v>303.63</v>
      </c>
      <c r="N13" s="14"/>
      <c r="O13" s="15"/>
    </row>
    <row r="14" spans="1:16" x14ac:dyDescent="0.25">
      <c r="N14" s="15"/>
      <c r="O14" s="13"/>
      <c r="P14" s="14"/>
    </row>
    <row r="15" spans="1:16" x14ac:dyDescent="0.25">
      <c r="N15" s="15"/>
      <c r="O15" s="13"/>
      <c r="P15" s="14"/>
    </row>
    <row r="16" spans="1:16" x14ac:dyDescent="0.25">
      <c r="N16" s="15"/>
      <c r="O16" s="13"/>
      <c r="P16" s="14"/>
    </row>
    <row r="19" spans="2:9" x14ac:dyDescent="0.25">
      <c r="B19" t="s">
        <v>167</v>
      </c>
      <c r="C19" s="8" t="s">
        <v>167</v>
      </c>
      <c r="D19" s="8" t="s">
        <v>168</v>
      </c>
      <c r="E19" s="8" t="s">
        <v>169</v>
      </c>
      <c r="H19" s="8" t="s">
        <v>170</v>
      </c>
      <c r="I19" s="8" t="s">
        <v>171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B722D-9B62-4911-91BE-DBC34AC59F77}">
  <dimension ref="A1:B6"/>
  <sheetViews>
    <sheetView workbookViewId="0">
      <selection activeCell="D12" sqref="D12"/>
    </sheetView>
  </sheetViews>
  <sheetFormatPr defaultRowHeight="15" x14ac:dyDescent="0.25"/>
  <cols>
    <col min="1" max="1" width="18.7109375" customWidth="1"/>
  </cols>
  <sheetData>
    <row r="1" spans="1:2" x14ac:dyDescent="0.25">
      <c r="A1" s="1" t="s">
        <v>166</v>
      </c>
      <c r="B1" t="s">
        <v>164</v>
      </c>
    </row>
    <row r="2" spans="1:2" x14ac:dyDescent="0.25">
      <c r="A2" s="2" t="s">
        <v>111</v>
      </c>
      <c r="B2">
        <v>1</v>
      </c>
    </row>
    <row r="3" spans="1:2" x14ac:dyDescent="0.25">
      <c r="A3" s="2" t="s">
        <v>115</v>
      </c>
      <c r="B3">
        <v>2</v>
      </c>
    </row>
    <row r="4" spans="1:2" x14ac:dyDescent="0.25">
      <c r="A4" s="2" t="s">
        <v>119</v>
      </c>
      <c r="B4">
        <v>3</v>
      </c>
    </row>
    <row r="5" spans="1:2" x14ac:dyDescent="0.25">
      <c r="A5" s="2" t="s">
        <v>123</v>
      </c>
      <c r="B5">
        <v>4</v>
      </c>
    </row>
    <row r="6" spans="1:2" x14ac:dyDescent="0.25">
      <c r="A6" s="2" t="s">
        <v>127</v>
      </c>
      <c r="B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User</vt:lpstr>
      <vt:lpstr>Role</vt:lpstr>
      <vt:lpstr>Product</vt:lpstr>
      <vt:lpstr>ProductType</vt:lpstr>
      <vt:lpstr>Order</vt:lpstr>
      <vt:lpstr>OrderStatus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2026-03-13T09:25:21Z</dcterms:created>
  <dcterms:modified xsi:type="dcterms:W3CDTF">2026-04-15T06:49:26Z</dcterms:modified>
</cp:coreProperties>
</file>